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5cfc6e31e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merical controls" sheetId="1" r:id="Rff31e3494ca1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######"/>
    <x:numFmt numFmtId="201" formatCode="0.############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354c630be4dff" /><Relationship Type="http://schemas.openxmlformats.org/officeDocument/2006/relationships/theme" Target="/xl/theme/theme1.xml" Id="R3e2144ed24034a52" /><Relationship Type="http://schemas.openxmlformats.org/officeDocument/2006/relationships/sharedStrings" Target="/xl/sharedStrings.xml" Id="Rea7d82a6a3b64f11" /><Relationship Type="http://schemas.openxmlformats.org/officeDocument/2006/relationships/worksheet" Target="/xl/worksheets/sheet1.xml" Id="Rff31e3494ca1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800001144409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24" hidden="0" customWidth="1"/>
    <x:col min="8" max="8" width="24" hidden="0" customWidth="1"/>
  </x:cols>
  <x:sheetData>
    <x:row r="1">
      <x:c r="A1" s="4" t="str">
        <x:v>RFC 0088 native spreadsheet controls</x:v>
      </x:c>
      <x:c r="B1" s="1"/>
      <x:c r="C1" s="1"/>
      <x:c r="D1" s="1"/>
      <x:c r="E1" s="1"/>
      <x:c r="F1" s="1"/>
      <x:c r="G1" s="1"/>
      <x:c r="H1" s="1"/>
    </x:row>
    <x:row r="2">
      <x:c r="A2" s="1" t="str">
        <x:v>Synthetic inputs; native Excel outcomes are observations, not the pinned contract.</x:v>
      </x:c>
      <x:c r="B2" s="1"/>
      <x:c r="C2" s="1"/>
      <x:c r="D2" s="1"/>
      <x:c r="E2" s="1"/>
      <x:c r="F2" s="1"/>
      <x:c r="G2" s="1"/>
      <x:c r="H2" s="1"/>
    </x:row>
    <x:row r="3">
      <x:c r="A3" s="3" t="str">
        <x:v>Control</x:v>
      </x:c>
      <x:c r="B3" s="3" t="str">
        <x:v>Input x</x:v>
      </x:c>
      <x:c r="C3" s="3" t="str">
        <x:v>Input y</x:v>
      </x:c>
      <x:c r="D3" s="3" t="str">
        <x:v>Input z</x:v>
      </x:c>
      <x:c r="E3" s="3" t="str">
        <x:v>Input w</x:v>
      </x:c>
      <x:c r="F3" s="3" t="str">
        <x:v>Scope</x:v>
      </x:c>
      <x:c r="G3" s="3" t="str">
        <x:v>Raw native result</x:v>
      </x:c>
      <x:c r="H3" s="3" t="str">
        <x:v>Reported result</x:v>
      </x:c>
    </x:row>
    <x:row r="4">
      <x:c r="A4" s="1" t="str">
        <x:v>power-report12</x:v>
      </x:c>
      <x:c r="B4" s="5" t="n">
        <x:v>1.2</x:v>
      </x:c>
      <x:c r="C4" s="5" t="n">
        <x:v>31</x:v>
      </x:c>
      <x:c r="D4" s="5"/>
      <x:c r="E4" s="5"/>
      <x:c r="F4" s="1" t="str">
        <x:v>pow/report12</x:v>
      </x:c>
      <x:c r="G4" s="6" t="n">
        <x:f>POWER(B4,C4)</x:f>
        <x:v>284.85157655972347</x:v>
      </x:c>
      <x:c r="H4" s="6" t="n">
        <x:f>ROUND(G4,12)</x:f>
        <x:v>284.851576559724</x:v>
      </x:c>
    </x:row>
    <x:row r="5">
      <x:c r="A5" s="1" t="str">
        <x:v>negative-power</x:v>
      </x:c>
      <x:c r="B5" s="5" t="n">
        <x:v>1.1</x:v>
      </x:c>
      <x:c r="C5" s="5" t="n">
        <x:v>-31</x:v>
      </x:c>
      <x:c r="D5" s="5"/>
      <x:c r="E5" s="5"/>
      <x:c r="F5" s="1" t="str">
        <x:v>all exponent classes</x:v>
      </x:c>
      <x:c r="G5" s="6" t="n">
        <x:f>POWER(B5,C5)</x:f>
        <x:v>0.05209868481924358</x:v>
      </x:c>
      <x:c r="H5" s="6" t="n">
        <x:f>ROUND(G5,12)</x:f>
        <x:v>0.052098684819</x:v>
      </x:c>
    </x:row>
    <x:row r="6">
      <x:c r="A6" s="1" t="str">
        <x:v>subnormal-power</x:v>
      </x:c>
      <x:c r="B6" s="5" t="n">
        <x:v>2</x:v>
      </x:c>
      <x:c r="C6" s="5" t="n">
        <x:v>-1074</x:v>
      </x:c>
      <x:c r="D6" s="5"/>
      <x:c r="E6" s="5"/>
      <x:c r="F6" s="1" t="str">
        <x:v>raw subnormal boundary</x:v>
      </x:c>
      <x:c r="G6" s="6" t="n">
        <x:f>POWER(B6,C6)</x:f>
        <x:v>5e-324</x:v>
      </x:c>
      <x:c r="H6" s="6" t="n">
        <x:f>ROUND(G6,12)</x:f>
        <x:v>0</x:v>
      </x:c>
    </x:row>
    <x:row r="7">
      <x:c r="A7" s="1" t="str">
        <x:v>log</x:v>
      </x:c>
      <x:c r="B7" s="5" t="n">
        <x:v>1.345</x:v>
      </x:c>
      <x:c r="C7" s="5"/>
      <x:c r="D7" s="5"/>
      <x:c r="E7" s="5"/>
      <x:c r="F7" s="1" t="str">
        <x:v>raw log</x:v>
      </x:c>
      <x:c r="G7" s="6" t="n">
        <x:f>LN(B7)</x:f>
        <x:v>0.2963940130538024</x:v>
      </x:c>
      <x:c r="H7" s="6" t="n">
        <x:f>ROUND(G7,12)</x:f>
        <x:v>0.296394013054</x:v>
      </x:c>
    </x:row>
    <x:row r="8">
      <x:c r="A8" s="1" t="str">
        <x:v>exp</x:v>
      </x:c>
      <x:c r="B8" s="5" t="n">
        <x:v>0.345</x:v>
      </x:c>
      <x:c r="C8" s="5"/>
      <x:c r="D8" s="5"/>
      <x:c r="E8" s="5"/>
      <x:c r="F8" s="1" t="str">
        <x:v>raw exp</x:v>
      </x:c>
      <x:c r="G8" s="6" t="n">
        <x:f>EXP(B8)</x:f>
        <x:v>1.411989919667659</x:v>
      </x:c>
      <x:c r="H8" s="6" t="n">
        <x:f>ROUND(G8,12)</x:f>
        <x:v>1.411989919668</x:v>
      </x:c>
    </x:row>
    <x:row r="9">
      <x:c r="A9" s="1" t="str">
        <x:v>overflow-exp</x:v>
      </x:c>
      <x:c r="B9" s="5" t="n">
        <x:v>1000</x:v>
      </x:c>
      <x:c r="C9" s="5"/>
      <x:c r="D9" s="5"/>
      <x:c r="E9" s="5"/>
      <x:c r="F9" s="1" t="str">
        <x:v>deliberate exceptional value</x:v>
      </x:c>
      <x:c r="G9" s="6" t="e">
        <x:f>EXP(B9)</x:f>
        <x:v>#NUM!</x:v>
      </x:c>
      <x:c r="H9" s="6" t="e">
        <x:f>G9</x:f>
        <x:v>#NUM!</x:v>
      </x:c>
    </x:row>
    <x:row r="10">
      <x:c r="A10" s="1" t="str">
        <x:v>internal-npv</x:v>
      </x:c>
      <x:c r="B10" s="5" t="n">
        <x:v>1e+155</x:v>
      </x:c>
      <x:c r="C10" s="5" t="n">
        <x:v>2</x:v>
      </x:c>
      <x:c r="D10" s="5"/>
      <x:c r="E10" s="5"/>
      <x:c r="F10" s="1" t="str">
        <x:v>overflowing denominator</x:v>
      </x:c>
      <x:c r="G10" s="6" t="e">
        <x:f>1/POWER(1+B10,C10)</x:f>
        <x:v>#NUM!</x:v>
      </x:c>
      <x:c r="H10" s="6" t="e">
        <x:f>ROUND(G10,6)</x:f>
        <x:v>#VALUE!</x:v>
      </x:c>
    </x:row>
    <x:row r="11">
      <x:c r="A11" s="1" t="str">
        <x:v>quantizer-tie</x:v>
      </x:c>
      <x:c r="B11" s="5" t="n">
        <x:v>1.005</x:v>
      </x:c>
      <x:c r="C11" s="5" t="n">
        <x:v>2</x:v>
      </x:c>
      <x:c r="D11" s="5"/>
      <x:c r="E11" s="5"/>
      <x:c r="F11" s="1" t="str">
        <x:v>decimal half-away</x:v>
      </x:c>
      <x:c r="G11" s="6" t="n">
        <x:f>ROUND(B11,C11)</x:f>
        <x:v>1</x:v>
      </x:c>
      <x:c r="H11" s="6" t="n">
        <x:f>G11</x:f>
        <x:v>1</x:v>
      </x:c>
    </x:row>
    <x:row r="12">
      <x:c r="A12" s="1" t="str">
        <x:v>stack-ads</x:v>
      </x:c>
      <x:c r="B12" s="5" t="n">
        <x:v>26000000</x:v>
      </x:c>
      <x:c r="C12" s="5" t="n">
        <x:v>0.0625</x:v>
      </x:c>
      <x:c r="D12" s="5" t="n">
        <x:v>360</x:v>
      </x:c>
      <x:c r="E12" s="5" t="n">
        <x:v>3100000</x:v>
      </x:c>
      <x:c r="F12" s="1" t="str">
        <x:v>ADS and coverage</x:v>
      </x:c>
      <x:c r="G12" s="6" t="n">
        <x:f>(B12*(C12/12))/(1-POWER(1+C12/12,-D12))*12</x:f>
        <x:v>1921037.6653303506</x:v>
      </x:c>
      <x:c r="H12" s="6" t="n">
        <x:f>ROUND(E12/G12,2)</x:f>
        <x:v>1.61</x:v>
      </x:c>
    </x:row>
    <x:row r="13">
      <x:c r="A13" s="1" t="str">
        <x:v>stack-ads-zero</x:v>
      </x:c>
      <x:c r="B13" s="5" t="n">
        <x:v>26000000</x:v>
      </x:c>
      <x:c r="C13" s="5" t="n">
        <x:v>0</x:v>
      </x:c>
      <x:c r="D13" s="5" t="n">
        <x:v>360</x:v>
      </x:c>
      <x:c r="E13" s="5" t="n">
        <x:v>3100000</x:v>
      </x:c>
      <x:c r="F13" s="1" t="str">
        <x:v>zero-rate ADS and coverage</x:v>
      </x:c>
      <x:c r="G13" s="6" t="n">
        <x:f>(B13/D13)*12</x:f>
        <x:v>866666.6666666666</x:v>
      </x:c>
      <x:c r="H13" s="6" t="n">
        <x:f>ROUND(E13/G13,2)</x:f>
        <x:v>3.58</x:v>
      </x:c>
    </x:row>
  </x:sheetData>
  <x:pageMargins left="0.7" right="0.7" top="0.75" bottom="0.75" header="0.3" footer="0.3"/>
</x:worksheet>
</file>